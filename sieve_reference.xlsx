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<sst xmlns="http://schemas.openxmlformats.org/spreadsheetml/2006/main" count="18" uniqueCount="10">
  <si>
    <t>20/40</t>
  </si>
  <si>
    <t>40/70</t>
  </si>
  <si>
    <t xml:space="preserve">Mesh size </t>
  </si>
  <si>
    <t>weight (g) empty</t>
  </si>
  <si>
    <t xml:space="preserve">weight (g) filled </t>
  </si>
  <si>
    <t>proppant weight (g)</t>
  </si>
  <si>
    <t>weight %</t>
  </si>
  <si>
    <t>pan</t>
  </si>
  <si>
    <t xml:space="preserve">total weight </t>
  </si>
  <si>
    <t>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</si>
</sst>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40/70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Sheet1!$L$3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Sheet1!$H$4:$H$9</c:f>
            </c:strRef>
          </c:cat>
          <c:val>
            <c:numRef>
              <c:f>Sheet1!$L$4:$L$9</c:f>
              <c:numCache/>
            </c:numRef>
          </c:val>
          <c:smooth val="0"/>
        </c:ser>
        <c:axId val="170721071"/>
        <c:axId val="1579338251"/>
      </c:lineChart>
      <c:catAx>
        <c:axId val="170721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Mesh size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9338251"/>
      </c:catAx>
      <c:valAx>
        <c:axId val="15793382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weight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7210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20/40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Sheet1!$F$3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Sheet1!$B$4:$B$10</c:f>
            </c:strRef>
          </c:cat>
          <c:val>
            <c:numRef>
              <c:f>Sheet1!$F$4:$F$10</c:f>
              <c:numCache/>
            </c:numRef>
          </c:val>
          <c:smooth val="0"/>
        </c:ser>
        <c:axId val="1260947915"/>
        <c:axId val="1503421428"/>
      </c:lineChart>
      <c:catAx>
        <c:axId val="1260947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Mesh size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3421428"/>
      </c:catAx>
      <c:valAx>
        <c:axId val="15034214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weight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09479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114300</xdr:colOff>
      <xdr:row>16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466725</xdr:colOff>
      <xdr:row>16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18.13"/>
    <col customWidth="1" min="5" max="5" width="15.38"/>
    <col customWidth="1" min="8" max="8" width="10.75"/>
    <col customWidth="1" min="9" max="9" width="13.38"/>
    <col customWidth="1" min="11" max="11" width="15.38"/>
    <col customWidth="1" min="12" max="12" width="11.63"/>
  </cols>
  <sheetData>
    <row r="2">
      <c r="B2" s="1" t="s">
        <v>0</v>
      </c>
      <c r="H2" s="1" t="s">
        <v>1</v>
      </c>
    </row>
    <row r="3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2"/>
      <c r="H3" s="1" t="s">
        <v>2</v>
      </c>
      <c r="I3" s="1" t="s">
        <v>3</v>
      </c>
      <c r="J3" s="1" t="s">
        <v>4</v>
      </c>
      <c r="K3" s="1" t="s">
        <v>5</v>
      </c>
      <c r="L3" s="1" t="s">
        <v>6</v>
      </c>
    </row>
    <row r="4">
      <c r="B4" s="1">
        <v>16.0</v>
      </c>
      <c r="C4" s="3">
        <v>352.5</v>
      </c>
      <c r="D4" s="3">
        <v>352.5</v>
      </c>
      <c r="E4" s="4">
        <f t="shared" ref="E4:E11" si="1">D4-C4</f>
        <v>0</v>
      </c>
      <c r="F4" s="4">
        <f t="shared" ref="F4:F11" si="2">(E4/$C$14)*100</f>
        <v>0</v>
      </c>
      <c r="H4" s="3">
        <v>30.0</v>
      </c>
      <c r="I4" s="3">
        <v>416.0</v>
      </c>
      <c r="J4" s="3">
        <v>416.5</v>
      </c>
      <c r="K4" s="4">
        <f t="shared" ref="K4:K10" si="3">J4-I4</f>
        <v>0.5</v>
      </c>
      <c r="L4" s="4">
        <f t="shared" ref="L4:L10" si="4">K4/$I$14 * 100</f>
        <v>0.4981965286</v>
      </c>
    </row>
    <row r="5">
      <c r="B5" s="1">
        <v>20.0</v>
      </c>
      <c r="C5" s="3">
        <v>340.5</v>
      </c>
      <c r="D5" s="3">
        <v>347.5</v>
      </c>
      <c r="E5" s="4">
        <f t="shared" si="1"/>
        <v>7</v>
      </c>
      <c r="F5" s="4">
        <f t="shared" si="2"/>
        <v>6.98108127</v>
      </c>
      <c r="H5" s="3">
        <v>40.0</v>
      </c>
      <c r="I5" s="3">
        <v>384.0</v>
      </c>
      <c r="J5" s="3">
        <v>388.0</v>
      </c>
      <c r="K5" s="4">
        <f t="shared" si="3"/>
        <v>4</v>
      </c>
      <c r="L5" s="4">
        <f t="shared" si="4"/>
        <v>3.985572229</v>
      </c>
    </row>
    <row r="6">
      <c r="B6" s="1">
        <v>25.0</v>
      </c>
      <c r="C6" s="3">
        <v>332.0</v>
      </c>
      <c r="D6" s="3">
        <v>380.0</v>
      </c>
      <c r="E6" s="4">
        <f t="shared" si="1"/>
        <v>48</v>
      </c>
      <c r="F6" s="4">
        <f t="shared" si="2"/>
        <v>47.87027156</v>
      </c>
      <c r="H6" s="3">
        <v>50.0</v>
      </c>
      <c r="I6" s="3">
        <v>397.5</v>
      </c>
      <c r="J6" s="3">
        <v>485.0</v>
      </c>
      <c r="K6" s="4">
        <f t="shared" si="3"/>
        <v>87.5</v>
      </c>
      <c r="L6" s="4">
        <f t="shared" si="4"/>
        <v>87.1843925</v>
      </c>
    </row>
    <row r="7">
      <c r="B7" s="1">
        <v>30.0</v>
      </c>
      <c r="C7" s="3">
        <v>416.0</v>
      </c>
      <c r="D7" s="3">
        <v>449.0</v>
      </c>
      <c r="E7" s="4">
        <f t="shared" si="1"/>
        <v>33</v>
      </c>
      <c r="F7" s="4">
        <f t="shared" si="2"/>
        <v>32.9108117</v>
      </c>
      <c r="H7" s="3">
        <v>60.0</v>
      </c>
      <c r="I7" s="3">
        <v>357.0</v>
      </c>
      <c r="J7" s="3">
        <v>364.5</v>
      </c>
      <c r="K7" s="4">
        <f t="shared" si="3"/>
        <v>7.5</v>
      </c>
      <c r="L7" s="4">
        <f t="shared" si="4"/>
        <v>7.472947928</v>
      </c>
    </row>
    <row r="8">
      <c r="B8" s="1">
        <v>35.0</v>
      </c>
      <c r="C8" s="3">
        <v>441.0</v>
      </c>
      <c r="D8" s="3">
        <v>450.0</v>
      </c>
      <c r="E8" s="4">
        <f t="shared" si="1"/>
        <v>9</v>
      </c>
      <c r="F8" s="4">
        <f t="shared" si="2"/>
        <v>8.975675918</v>
      </c>
      <c r="H8" s="3">
        <v>70.0</v>
      </c>
      <c r="I8" s="3">
        <v>393.5</v>
      </c>
      <c r="J8" s="3">
        <v>394.5</v>
      </c>
      <c r="K8" s="4">
        <f t="shared" si="3"/>
        <v>1</v>
      </c>
      <c r="L8" s="4">
        <f t="shared" si="4"/>
        <v>0.9963930571</v>
      </c>
    </row>
    <row r="9">
      <c r="B9" s="1">
        <v>40.0</v>
      </c>
      <c r="C9" s="3">
        <v>384.0</v>
      </c>
      <c r="D9" s="3">
        <v>386.0</v>
      </c>
      <c r="E9" s="4">
        <f t="shared" si="1"/>
        <v>2</v>
      </c>
      <c r="F9" s="4">
        <f t="shared" si="2"/>
        <v>1.994594649</v>
      </c>
      <c r="H9" s="3">
        <v>100.0</v>
      </c>
      <c r="I9" s="3">
        <v>280.5</v>
      </c>
      <c r="J9" s="3">
        <v>280.5</v>
      </c>
      <c r="K9" s="4">
        <f t="shared" si="3"/>
        <v>0</v>
      </c>
      <c r="L9" s="4">
        <f t="shared" si="4"/>
        <v>0</v>
      </c>
    </row>
    <row r="10">
      <c r="B10" s="1">
        <v>50.0</v>
      </c>
      <c r="C10" s="3">
        <v>397.5</v>
      </c>
      <c r="D10" s="3">
        <v>398.5</v>
      </c>
      <c r="E10" s="4">
        <f t="shared" si="1"/>
        <v>1</v>
      </c>
      <c r="F10" s="4">
        <f t="shared" si="2"/>
        <v>0.9972973243</v>
      </c>
      <c r="H10" s="3" t="s">
        <v>7</v>
      </c>
      <c r="I10" s="3">
        <v>918.0</v>
      </c>
      <c r="J10" s="3">
        <v>918.0</v>
      </c>
      <c r="K10" s="4">
        <f t="shared" si="3"/>
        <v>0</v>
      </c>
      <c r="L10" s="4">
        <f t="shared" si="4"/>
        <v>0</v>
      </c>
    </row>
    <row r="11">
      <c r="B11" s="1" t="s">
        <v>7</v>
      </c>
      <c r="C11" s="3">
        <v>918.0</v>
      </c>
      <c r="D11" s="3">
        <v>918.0</v>
      </c>
      <c r="E11" s="4">
        <f t="shared" si="1"/>
        <v>0</v>
      </c>
      <c r="F11" s="4">
        <f t="shared" si="2"/>
        <v>0</v>
      </c>
    </row>
    <row r="14">
      <c r="B14" s="3" t="s">
        <v>8</v>
      </c>
      <c r="C14" s="3">
        <v>100.271</v>
      </c>
      <c r="D14" s="3" t="s">
        <v>9</v>
      </c>
      <c r="H14" s="3" t="s">
        <v>8</v>
      </c>
      <c r="I14" s="3">
        <v>100.362</v>
      </c>
      <c r="J14" s="3" t="s">
        <v>9</v>
      </c>
    </row>
  </sheetData>
  <mergeCells count="2">
    <mergeCell ref="B2:F2"/>
    <mergeCell ref="H2:L2"/>
  </mergeCells>
  <drawing r:id="rId1"/>
</worksheet>
</file>